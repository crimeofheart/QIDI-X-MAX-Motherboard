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Z:\3dprinter\Motherboard\Motherboard\"/>
    </mc:Choice>
  </mc:AlternateContent>
  <bookViews>
    <workbookView xWindow="0" yWindow="0" windowWidth="2370" windowHeight="24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1" l="1"/>
  <c r="L13" i="1"/>
  <c r="L14" i="1"/>
  <c r="L15" i="1"/>
  <c r="L16" i="1"/>
  <c r="L11" i="1"/>
  <c r="M5" i="1"/>
  <c r="M6" i="1"/>
  <c r="M7" i="1"/>
  <c r="M8" i="1"/>
  <c r="M4" i="1"/>
  <c r="L5" i="1"/>
  <c r="L6" i="1"/>
  <c r="L7" i="1"/>
  <c r="L8" i="1"/>
  <c r="L4" i="1"/>
</calcChain>
</file>

<file path=xl/sharedStrings.xml><?xml version="1.0" encoding="utf-8"?>
<sst xmlns="http://schemas.openxmlformats.org/spreadsheetml/2006/main" count="34" uniqueCount="30">
  <si>
    <t>R12</t>
  </si>
  <si>
    <t>E1_MOTOR</t>
  </si>
  <si>
    <t>E2_MOTOR</t>
  </si>
  <si>
    <t>X_MOTOR</t>
  </si>
  <si>
    <t>Y_MOTOT</t>
  </si>
  <si>
    <t>Z_MOTOR</t>
  </si>
  <si>
    <t>R3_E2</t>
  </si>
  <si>
    <t>R3_X</t>
  </si>
  <si>
    <t>R3_Y</t>
  </si>
  <si>
    <t>R3_Z</t>
  </si>
  <si>
    <t>2.4kOhm</t>
  </si>
  <si>
    <t>1.5KOhm</t>
  </si>
  <si>
    <t>1.5KkOhm</t>
  </si>
  <si>
    <t>0.65V</t>
  </si>
  <si>
    <t>0.44V</t>
  </si>
  <si>
    <t>0.84V</t>
  </si>
  <si>
    <t>R2</t>
  </si>
  <si>
    <t>Output voltage</t>
  </si>
  <si>
    <t>3KOhm</t>
  </si>
  <si>
    <t>Measured value</t>
  </si>
  <si>
    <t>Resistor</t>
  </si>
  <si>
    <t>Resistor position number</t>
  </si>
  <si>
    <t>Motor port</t>
  </si>
  <si>
    <t>Motor rating</t>
  </si>
  <si>
    <t>Calculators</t>
  </si>
  <si>
    <t>Input</t>
  </si>
  <si>
    <t>Calculated</t>
  </si>
  <si>
    <t xml:space="preserve">Fill the amp rating in mA of the motor you want to install in to the pink field </t>
  </si>
  <si>
    <t>Value of the resistor</t>
  </si>
  <si>
    <t>The size of the resistor is 0805 SMD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</si>
</sst>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6" formatCode="0.0"/>
    <numFmt numFmtId="167" formatCode="0.000"/>
    <numFmt numFmtId="174" formatCode="0&quot; Ohm&quot;"/>
    <numFmt numFmtId="175" formatCode="0&quot; mA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5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 wrapText="1"/>
    </xf>
    <xf numFmtId="0" fontId="3" fillId="3" borderId="0" xfId="2" applyAlignment="1">
      <alignment horizontal="center" vertical="center" wrapText="1"/>
    </xf>
    <xf numFmtId="0" fontId="0" fillId="0" borderId="0" xfId="0" applyAlignment="1">
      <alignment horizontal="center"/>
    </xf>
    <xf numFmtId="174" fontId="0" fillId="0" borderId="0" xfId="0" applyNumberFormat="1"/>
    <xf numFmtId="175" fontId="0" fillId="0" borderId="0" xfId="0" applyNumberFormat="1" applyAlignment="1">
      <alignment horizontal="center" vertical="center"/>
    </xf>
    <xf numFmtId="0" fontId="1" fillId="4" borderId="0" xfId="3" applyAlignment="1">
      <alignment horizontal="center" vertical="center" wrapText="1"/>
    </xf>
    <xf numFmtId="175" fontId="2" fillId="2" borderId="0" xfId="1" applyNumberFormat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/>
    </xf>
  </cellXfs>
  <cellStyles count="5">
    <cellStyle name="40% - Accent1" xfId="3" builtinId="31"/>
    <cellStyle name="Bad" xfId="1" builtinId="27"/>
    <cellStyle name="Neutral" xfId="2" builtinId="28"/>
    <cellStyle name="Normal" xfId="0" builtinId="0"/>
    <cellStyle name="Normal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N16"/>
  <sheetViews>
    <sheetView tabSelected="1" workbookViewId="0">
      <selection activeCell="F3" sqref="F3"/>
    </sheetView>
  </sheetViews>
  <sheetFormatPr defaultRowHeight="15" x14ac:dyDescent="0.25"/>
  <cols>
    <col min="5" max="5" width="22.140625" customWidth="1"/>
    <col min="6" max="6" width="23.7109375" bestFit="1" customWidth="1"/>
    <col min="7" max="7" width="26.5703125" customWidth="1"/>
    <col min="8" max="8" width="22.42578125" customWidth="1"/>
    <col min="10" max="10" width="16" customWidth="1"/>
    <col min="12" max="12" width="9.7109375" bestFit="1" customWidth="1"/>
    <col min="13" max="13" width="12.7109375" customWidth="1"/>
  </cols>
  <sheetData>
    <row r="1" spans="5:14" x14ac:dyDescent="0.25">
      <c r="K1" s="9" t="s">
        <v>24</v>
      </c>
      <c r="L1" s="9"/>
      <c r="M1" s="9"/>
    </row>
    <row r="2" spans="5:14" x14ac:dyDescent="0.25">
      <c r="K2" t="s">
        <v>25</v>
      </c>
      <c r="L2" s="9" t="s">
        <v>26</v>
      </c>
      <c r="M2" s="9"/>
    </row>
    <row r="3" spans="5:14" ht="30" x14ac:dyDescent="0.25">
      <c r="E3" s="5" t="s">
        <v>22</v>
      </c>
      <c r="F3" s="5" t="s">
        <v>21</v>
      </c>
      <c r="G3" s="5" t="s">
        <v>20</v>
      </c>
      <c r="H3" s="5" t="s">
        <v>19</v>
      </c>
      <c r="K3" s="6" t="s">
        <v>16</v>
      </c>
      <c r="L3" s="7" t="s">
        <v>17</v>
      </c>
      <c r="M3" s="8" t="s">
        <v>23</v>
      </c>
    </row>
    <row r="4" spans="5:14" x14ac:dyDescent="0.25">
      <c r="E4" s="1" t="s">
        <v>1</v>
      </c>
      <c r="F4" s="1" t="s">
        <v>0</v>
      </c>
      <c r="G4" s="1" t="s">
        <v>10</v>
      </c>
      <c r="H4" s="1" t="s">
        <v>13</v>
      </c>
      <c r="K4" s="1">
        <v>2400</v>
      </c>
      <c r="L4" s="4">
        <f>(3.3*K4)/(10000+K4)</f>
        <v>0.6387096774193548</v>
      </c>
      <c r="M4">
        <f>ROUNDUP(L4*1000,-2)</f>
        <v>700</v>
      </c>
    </row>
    <row r="5" spans="5:14" x14ac:dyDescent="0.25">
      <c r="E5" s="1" t="s">
        <v>2</v>
      </c>
      <c r="F5" s="1" t="s">
        <v>6</v>
      </c>
      <c r="G5" s="1" t="s">
        <v>11</v>
      </c>
      <c r="H5" s="1" t="s">
        <v>14</v>
      </c>
      <c r="K5" s="1">
        <v>1500</v>
      </c>
      <c r="L5" s="4">
        <f t="shared" ref="L5:L8" si="0">(3.3*K5)/(10000+K5)</f>
        <v>0.43043478260869567</v>
      </c>
      <c r="M5">
        <f t="shared" ref="M5:M8" si="1">ROUNDUP(L5*1000,-2)</f>
        <v>500</v>
      </c>
    </row>
    <row r="6" spans="5:14" x14ac:dyDescent="0.25">
      <c r="E6" s="1" t="s">
        <v>3</v>
      </c>
      <c r="F6" s="1" t="s">
        <v>7</v>
      </c>
      <c r="G6" s="1" t="s">
        <v>18</v>
      </c>
      <c r="H6" s="1" t="s">
        <v>15</v>
      </c>
      <c r="K6" s="1">
        <v>3000</v>
      </c>
      <c r="L6" s="4">
        <f t="shared" si="0"/>
        <v>0.7615384615384615</v>
      </c>
      <c r="M6">
        <f t="shared" si="1"/>
        <v>800</v>
      </c>
    </row>
    <row r="7" spans="5:14" x14ac:dyDescent="0.25">
      <c r="E7" s="1" t="s">
        <v>4</v>
      </c>
      <c r="F7" s="1" t="s">
        <v>8</v>
      </c>
      <c r="G7" s="1" t="s">
        <v>18</v>
      </c>
      <c r="H7" s="1" t="s">
        <v>15</v>
      </c>
      <c r="K7" s="1">
        <v>3000</v>
      </c>
      <c r="L7" s="4">
        <f t="shared" si="0"/>
        <v>0.7615384615384615</v>
      </c>
      <c r="M7">
        <f t="shared" si="1"/>
        <v>800</v>
      </c>
    </row>
    <row r="8" spans="5:14" x14ac:dyDescent="0.25">
      <c r="E8" s="1" t="s">
        <v>5</v>
      </c>
      <c r="F8" s="1" t="s">
        <v>9</v>
      </c>
      <c r="G8" s="1" t="s">
        <v>12</v>
      </c>
      <c r="H8" s="1" t="s">
        <v>14</v>
      </c>
      <c r="K8" s="1">
        <v>1500</v>
      </c>
      <c r="L8" s="4">
        <f t="shared" si="0"/>
        <v>0.43043478260869567</v>
      </c>
      <c r="M8">
        <f t="shared" si="1"/>
        <v>500</v>
      </c>
    </row>
    <row r="10" spans="5:14" ht="45" x14ac:dyDescent="0.25">
      <c r="E10" s="2"/>
      <c r="K10" s="12" t="s">
        <v>23</v>
      </c>
      <c r="L10" s="8" t="s">
        <v>28</v>
      </c>
    </row>
    <row r="11" spans="5:14" x14ac:dyDescent="0.25">
      <c r="E11" s="2"/>
      <c r="K11" s="11">
        <v>700</v>
      </c>
      <c r="L11" s="10">
        <f>ROUNDUP(((K11*0.00091)*10000)/(3.3-(K11*0.00091)),-2)</f>
        <v>2400</v>
      </c>
    </row>
    <row r="12" spans="5:14" ht="23.25" x14ac:dyDescent="0.35">
      <c r="E12" s="15" t="s">
        <v>29</v>
      </c>
      <c r="F12" s="9"/>
      <c r="G12" s="9"/>
      <c r="H12" s="9"/>
      <c r="K12" s="13">
        <v>800</v>
      </c>
      <c r="L12" s="10">
        <f t="shared" ref="L12:L16" si="2">ROUNDUP(((K12*0.00091)*10000)/(3.3-(K12*0.00091)),-2)</f>
        <v>2900</v>
      </c>
      <c r="N12" s="14" t="s">
        <v>27</v>
      </c>
    </row>
    <row r="13" spans="5:14" x14ac:dyDescent="0.25">
      <c r="E13" s="2"/>
      <c r="K13" s="13">
        <v>1000</v>
      </c>
      <c r="L13" s="10">
        <f t="shared" si="2"/>
        <v>3900</v>
      </c>
    </row>
    <row r="14" spans="5:14" x14ac:dyDescent="0.25">
      <c r="E14" s="2"/>
      <c r="K14" s="13"/>
      <c r="L14" s="10">
        <f t="shared" si="2"/>
        <v>0</v>
      </c>
    </row>
    <row r="15" spans="5:14" x14ac:dyDescent="0.25">
      <c r="E15" s="3"/>
      <c r="K15" s="13"/>
      <c r="L15" s="10">
        <f t="shared" si="2"/>
        <v>0</v>
      </c>
    </row>
    <row r="16" spans="5:14" x14ac:dyDescent="0.25">
      <c r="K16" s="13"/>
      <c r="L16" s="10">
        <f t="shared" si="2"/>
        <v>0</v>
      </c>
    </row>
  </sheetData>
  <mergeCells count="3">
    <mergeCell ref="K1:M1"/>
    <mergeCell ref="L2:M2"/>
    <mergeCell ref="E12:H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Attila Orosz</dc:creator>
  <cp:lastModifiedBy>Attila Orosz</cp:lastModifiedBy>
  <dcterms:created xsi:type="dcterms:W3CDTF">2021-02-19T22:00:03Z</dcterms:created>
  <dcterms:modified xsi:type="dcterms:W3CDTF">2021-02-20T00:20:21Z</dcterms:modified>
</cp:coreProperties>
</file>